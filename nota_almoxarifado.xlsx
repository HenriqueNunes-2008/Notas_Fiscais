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Qi\Downloads\zip\nota_almoxarifado\"/>
    </mc:Choice>
  </mc:AlternateContent>
  <xr:revisionPtr revIDLastSave="0" documentId="13_ncr:1_{A17203DA-BD71-45C4-AFE7-9DBC1C7F6E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  <sheet name="PROJETOS" sheetId="2" r:id="rId2"/>
    <sheet name="INDICADORES" sheetId="3" r:id="rId3"/>
    <sheet name="DASHBOARD" sheetId="4" r:id="rId4"/>
    <sheet name="AUXILIAR " sheetId="5" r:id="rId5"/>
  </sheets>
  <externalReferences>
    <externalReference r:id="rId6"/>
  </externalReferences>
  <definedNames>
    <definedName name="ListaProjetos">[1]AUXILIAR!$A$4:$A$1000</definedName>
  </definedNames>
  <calcPr calcId="191029"/>
  <pivotCaches>
    <pivotCache cacheId="9" r:id="rId7"/>
  </pivotCaches>
</workbook>
</file>

<file path=xl/calcChain.xml><?xml version="1.0" encoding="utf-8"?>
<calcChain xmlns="http://schemas.openxmlformats.org/spreadsheetml/2006/main">
  <c r="C2" i="3" l="1"/>
  <c r="B2" i="3"/>
  <c r="E2" i="3" s="1"/>
</calcChain>
</file>

<file path=xl/sharedStrings.xml><?xml version="1.0" encoding="utf-8"?>
<sst xmlns="http://schemas.openxmlformats.org/spreadsheetml/2006/main" count="50" uniqueCount="29">
  <si>
    <t>Data</t>
  </si>
  <si>
    <t>N nota</t>
  </si>
  <si>
    <t>Fornecedor</t>
  </si>
  <si>
    <t>Material</t>
  </si>
  <si>
    <t>Unidade</t>
  </si>
  <si>
    <t>Quantidade</t>
  </si>
  <si>
    <t>Valor unitario</t>
  </si>
  <si>
    <t>Valor Total</t>
  </si>
  <si>
    <t>Projeto</t>
  </si>
  <si>
    <t>2026-02-09</t>
  </si>
  <si>
    <t>759</t>
  </si>
  <si>
    <t>MR PROTEÇÕES RADIOLOGICAS</t>
  </si>
  <si>
    <t>LENCOL DE CHUMBO 0,5MM</t>
  </si>
  <si>
    <t>MT</t>
  </si>
  <si>
    <t>CDS-34</t>
  </si>
  <si>
    <t>PORTA DE ABRIR EM FORMICA L120TX92 X210CM - 0,5 MM PB</t>
  </si>
  <si>
    <t>UN</t>
  </si>
  <si>
    <t>(vazio)</t>
  </si>
  <si>
    <t>Valores</t>
  </si>
  <si>
    <t>Quantidade do Material</t>
  </si>
  <si>
    <t>Valor unitario do Material</t>
  </si>
  <si>
    <t>Soma de Valor Total</t>
  </si>
  <si>
    <t>Total Geral</t>
  </si>
  <si>
    <t>PROJETOS</t>
  </si>
  <si>
    <t>VALOR TOTAL</t>
  </si>
  <si>
    <t>QUANTIDADE</t>
  </si>
  <si>
    <t>ESTORNO</t>
  </si>
  <si>
    <t>SALDO REAL</t>
  </si>
  <si>
    <t>Rótulos de 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</si>
</sst>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2" xfId="0" applyFont="1" applyBorder="1"/>
    <xf numFmtId="0" fontId="0" fillId="0" borderId="3" xfId="0" applyBorder="1"/>
    <xf numFmtId="0" fontId="2" fillId="0" borderId="0" xfId="0" applyFont="1"/>
    <xf numFmtId="0" fontId="0" fillId="0" borderId="4" xfId="0" applyBorder="1"/>
    <xf numFmtId="0" fontId="2" fillId="0" borderId="5" xfId="0" applyFont="1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4" xfId="0" applyFont="1" applyBorder="1"/>
    <xf numFmtId="0" fontId="0" fillId="2" borderId="0" xfId="0" applyFill="1"/>
    <xf numFmtId="0" fontId="0" fillId="0" borderId="4" xfId="0" pivotButton="1" applyBorder="1"/>
    <xf numFmtId="0" fontId="0" fillId="0" borderId="13" xfId="0" applyBorder="1"/>
    <xf numFmtId="0" fontId="0" fillId="0" borderId="12" xfId="0" pivotButton="1" applyBorder="1"/>
    <xf numFmtId="0" fontId="0" fillId="0" borderId="14" xfId="0" applyBorder="1"/>
    <xf numFmtId="0" fontId="0" fillId="0" borderId="12" xfId="0" applyBorder="1"/>
    <xf numFmtId="0" fontId="2" fillId="0" borderId="4" xfId="0" pivotButton="1" applyFont="1" applyBorder="1"/>
    <xf numFmtId="0" fontId="0" fillId="0" borderId="16" xfId="0" applyBorder="1"/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13" xfId="0" pivotButton="1" applyBorder="1"/>
    <xf numFmtId="0" fontId="0" fillId="0" borderId="14" xfId="0" pivotButton="1" applyBorder="1"/>
    <xf numFmtId="0" fontId="2" fillId="0" borderId="13" xfId="0" applyFont="1" applyBorder="1"/>
    <xf numFmtId="0" fontId="0" fillId="0" borderId="22" xfId="0" applyBorder="1"/>
    <xf numFmtId="0" fontId="0" fillId="0" borderId="23" xfId="0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2" xfId="0" applyNumberFormat="1" applyBorder="1"/>
    <xf numFmtId="0" fontId="0" fillId="0" borderId="16" xfId="0" applyNumberFormat="1" applyBorder="1"/>
    <xf numFmtId="0" fontId="0" fillId="0" borderId="0" xfId="0" applyNumberFormat="1" applyBorder="1"/>
  </cellXfs>
  <cellStyles count="1">
    <cellStyle name="Normal" xfId="0" builtinId="0"/>
  </cellStyles>
  <dxfs count="126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</border>
    </dxf>
    <dxf>
      <border>
        <right/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right/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</border>
    </dxf>
    <dxf>
      <border>
        <right style="medium">
          <color indexed="64"/>
        </right>
      </border>
    </dxf>
    <dxf>
      <font>
        <b/>
      </font>
    </dxf>
    <dxf>
      <font>
        <b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</border>
    </dxf>
    <dxf>
      <border>
        <right/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right/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</border>
    </dxf>
    <dxf>
      <border>
        <right style="medium">
          <color indexed="64"/>
        </right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right style="medium">
          <color indexed="64"/>
        </right>
      </border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right/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right/>
      </border>
    </dxf>
    <dxf>
      <border>
        <right/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endParaRPr lang="pt-BR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5055493133272221E-2"/>
          <c:y val="0.11854538802781869"/>
          <c:w val="0.92944502440923349"/>
          <c:h val="0.768003050402072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INDICADORES!$A$2</c:f>
              <c:strCache>
                <c:ptCount val="1"/>
                <c:pt idx="0">
                  <c:v>CDS-34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INDICADORES!$B$1:$E$1</c:f>
              <c:strCache>
                <c:ptCount val="4"/>
                <c:pt idx="0">
                  <c:v>VALOR TOTAL</c:v>
                </c:pt>
                <c:pt idx="1">
                  <c:v>QUANTIDADE</c:v>
                </c:pt>
                <c:pt idx="2">
                  <c:v>ESTORNO</c:v>
                </c:pt>
                <c:pt idx="3">
                  <c:v>SALDO REAL</c:v>
                </c:pt>
              </c:strCache>
            </c:strRef>
          </c:cat>
          <c:val>
            <c:numRef>
              <c:f>INDICADORES!$B$2:$E$2</c:f>
              <c:numCache>
                <c:formatCode>General</c:formatCode>
                <c:ptCount val="4"/>
                <c:pt idx="0">
                  <c:v>15616</c:v>
                </c:pt>
                <c:pt idx="1">
                  <c:v>28</c:v>
                </c:pt>
                <c:pt idx="2">
                  <c:v>1000</c:v>
                </c:pt>
                <c:pt idx="3">
                  <c:v>14616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B-4C5C-890E-504D84F88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245272"/>
        <c:axId val="641651912"/>
      </c:barChart>
      <c:catAx>
        <c:axId val="633245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r>
                  <a:rPr lang="pt-BR" sz="2000">
                    <a:solidFill>
                      <a:schemeClr val="accent1"/>
                    </a:solidFill>
                  </a:rPr>
                  <a:t>GRAFICO</a:t>
                </a:r>
                <a:r>
                  <a:rPr lang="pt-BR" sz="2000" baseline="0">
                    <a:solidFill>
                      <a:schemeClr val="accent1"/>
                    </a:solidFill>
                  </a:rPr>
                  <a:t> DE INDICADORES</a:t>
                </a:r>
              </a:p>
            </c:rich>
          </c:tx>
          <c:layout>
            <c:manualLayout>
              <c:xMode val="edge"/>
              <c:yMode val="edge"/>
              <c:x val="0.36016442957267142"/>
              <c:y val="1.1259221742077869E-2"/>
            </c:manualLayout>
          </c:layout>
          <c:overlay val="0"/>
          <c:spPr>
            <a:ln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1651912"/>
        <c:crosses val="autoZero"/>
        <c:auto val="1"/>
        <c:lblAlgn val="ctr"/>
        <c:lblOffset val="100"/>
        <c:noMultiLvlLbl val="0"/>
      </c:catAx>
      <c:valAx>
        <c:axId val="641651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3245272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479461</xdr:colOff>
      <xdr:row>1</xdr:row>
      <xdr:rowOff>42809</xdr:rowOff>
    </xdr:from>
    <xdr:to>
      <xdr:col>20</xdr:col>
      <xdr:colOff>382969</xdr:colOff>
      <xdr:row>32</xdr:row>
      <xdr:rowOff>34247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UXILIA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Qi" refreshedDate="46097.437752546299" missingItemsLimit="0" createdVersion="8" refreshedVersion="8" minRefreshableVersion="3" recordCount="3" xr:uid="{00000000-000A-0000-FFFF-FFFF1D000000}">
  <cacheSource type="worksheet">
    <worksheetSource ref="A1:I1048576" sheet="dados"/>
  </cacheSource>
  <cacheFields count="9">
    <cacheField name="Data" numFmtId="0">
      <sharedItems containsBlank="1" count="2">
        <s v="2026-02-09"/>
        <m/>
      </sharedItems>
    </cacheField>
    <cacheField name="N nota" numFmtId="0">
      <sharedItems containsBlank="1" count="2">
        <s v="759"/>
        <m/>
      </sharedItems>
    </cacheField>
    <cacheField name="Fornecedor" numFmtId="0">
      <sharedItems containsBlank="1" count="2">
        <s v="MR PROTEÇÕES RADIOLOGICAS"/>
        <m/>
      </sharedItems>
    </cacheField>
    <cacheField name="Material" numFmtId="0">
      <sharedItems containsBlank="1" count="3">
        <s v="LENCOL DE CHUMBO 0,5MM"/>
        <s v="PORTA DE ABRIR EM FORMICA L120TX92 X210CM - 0,5 MM PB"/>
        <m/>
      </sharedItems>
    </cacheField>
    <cacheField name="Unidade" numFmtId="0">
      <sharedItems containsBlank="1" count="3">
        <s v="MT"/>
        <s v="UN"/>
        <m/>
      </sharedItems>
    </cacheField>
    <cacheField name="Quantidade" numFmtId="0">
      <sharedItems containsString="0" containsBlank="1" containsNumber="1" containsInteger="1" minValue="1" maxValue="27"/>
    </cacheField>
    <cacheField name="Valor unitario" numFmtId="0">
      <sharedItems containsString="0" containsBlank="1" containsNumber="1" containsInteger="1" minValue="433" maxValue="3925"/>
    </cacheField>
    <cacheField name="Valor Total" numFmtId="0">
      <sharedItems containsString="0" containsBlank="1" containsNumber="1" containsInteger="1" minValue="3925" maxValue="11691"/>
    </cacheField>
    <cacheField name="Projeto" numFmtId="0">
      <sharedItems containsBlank="1" count="2">
        <s v="CDS-3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x v="0"/>
    <x v="0"/>
    <x v="0"/>
    <n v="27"/>
    <n v="433"/>
    <n v="11691"/>
    <x v="0"/>
  </r>
  <r>
    <x v="0"/>
    <x v="0"/>
    <x v="0"/>
    <x v="1"/>
    <x v="1"/>
    <n v="1"/>
    <n v="3925"/>
    <n v="3925"/>
    <x v="0"/>
  </r>
  <r>
    <x v="1"/>
    <x v="1"/>
    <x v="1"/>
    <x v="2"/>
    <x v="2"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H7" firstHeaderRow="1" firstDataRow="2" firstDataCol="5" rowPageCount="1" colPageCount="1"/>
  <pivotFields count="9"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3">
        <item x="2"/>
        <item x="0"/>
        <item x="1"/>
      </items>
    </pivotField>
    <pivotField axis="axisRow" compact="0" outline="0" showAll="0" defaultSubtotal="0">
      <items count="3">
        <item x="2"/>
        <item x="0"/>
        <item x="1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axis="axisPage" compact="0" outline="0" multipleItemSelectionAllowed="1" showAll="0" defaultSubtotal="0">
      <items count="2">
        <item h="1" x="1"/>
        <item x="0"/>
      </items>
    </pivotField>
  </pivotFields>
  <rowFields count="5">
    <field x="0"/>
    <field x="1"/>
    <field x="2"/>
    <field x="3"/>
    <field x="4"/>
  </rowFields>
  <rowItems count="3">
    <i>
      <x v="1"/>
      <x v="1"/>
      <x v="1"/>
      <x v="1"/>
      <x v="1"/>
    </i>
    <i r="3">
      <x v="2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hier="-1"/>
  </pageFields>
  <dataFields count="3">
    <dataField name="Quantidade do Material" fld="5" baseField="4" baseItem="2"/>
    <dataField name="Valor unitario do Material" fld="6" baseField="4" baseItem="2"/>
    <dataField name="Soma de Valor Total" fld="7" baseField="4" baseItem="2"/>
  </dataFields>
  <formats count="42">
    <format dxfId="0">
      <pivotArea type="origin" dataOnly="0" labelOnly="1" outline="0" offset="A1" fieldPosition="0"/>
    </format>
    <format dxfId="1">
      <pivotArea type="origin" dataOnly="0" labelOnly="1" outline="0" offset="B1" fieldPosition="0"/>
    </format>
    <format dxfId="2">
      <pivotArea type="origin" dataOnly="0" labelOnly="1" outline="0" offset="C1" fieldPosition="0"/>
    </format>
    <format dxfId="3">
      <pivotArea type="origin" dataOnly="0" labelOnly="1" outline="0" offset="D1" fieldPosition="0"/>
    </format>
    <format dxfId="4">
      <pivotArea type="origin" dataOnly="0" labelOnly="1" outline="0" offset="E1" fieldPosition="0"/>
    </format>
    <format dxfId="5">
      <pivotArea field="-2" type="button" dataOnly="0" labelOnly="1" outline="0" axis="axisCol" fieldPosition="0"/>
    </format>
    <format dxfId="6">
      <pivotArea type="topRight" dataOnly="0" labelOnly="1" outline="0" offset="A1" fieldPosition="0"/>
    </format>
    <format dxfId="7">
      <pivotArea type="topRight" dataOnly="0" labelOnly="1" outline="0" offset="B1" fieldPosition="0"/>
    </format>
    <format dxfId="8">
      <pivotArea field="-2" type="button" dataOnly="0" labelOnly="1" outline="0" axis="axisCol" fieldPosition="0"/>
    </format>
    <format dxfId="9">
      <pivotArea type="topRight" dataOnly="0" labelOnly="1" outline="0" offset="A1" fieldPosition="0"/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">
      <pivotArea field="0" type="button" dataOnly="0" labelOnly="1" outline="0" axis="axisRow" fieldPosition="0"/>
    </format>
    <format dxfId="14">
      <pivotArea field="1" type="button" dataOnly="0" labelOnly="1" outline="0" axis="axisRow" fieldPosition="1"/>
    </format>
    <format dxfId="15">
      <pivotArea field="2" type="button" dataOnly="0" labelOnly="1" outline="0" axis="axisRow" fieldPosition="2"/>
    </format>
    <format dxfId="16">
      <pivotArea field="3" type="button" dataOnly="0" labelOnly="1" outline="0" axis="axisRow" fieldPosition="3"/>
    </format>
    <format dxfId="17">
      <pivotArea field="4" type="button" dataOnly="0" labelOnly="1" outline="0" axis="axisRow" fieldPosition="4"/>
    </format>
    <format dxfId="18">
      <pivotArea field="8" type="button" dataOnly="0" labelOnly="1" outline="0" axis="axisPage" fieldPosition="0"/>
    </format>
    <format dxfId="19">
      <pivotArea dataOnly="0" labelOnly="1" outline="0" fieldPosition="0">
        <references count="1">
          <reference field="8" count="0"/>
        </references>
      </pivotArea>
    </format>
    <format dxfId="20">
      <pivotArea dataOnly="0" labelOnly="1" grandRow="1" outline="0" offset="B256" fieldPosition="0"/>
    </format>
    <format dxfId="21">
      <pivotArea dataOnly="0" labelOnly="1" grandRow="1" outline="0" offset="C256" fieldPosition="0"/>
    </format>
    <format dxfId="22">
      <pivotArea dataOnly="0" labelOnly="1" grandRow="1" outline="0" offset="D256" fieldPosition="0"/>
    </format>
    <format dxfId="23">
      <pivotArea dataOnly="0" labelOnly="1" grandRow="1" outline="0" offset="IV256" fieldPosition="0"/>
    </format>
    <format dxfId="24">
      <pivotArea field="0" grandRow="1" outline="0" axis="axisRow" fieldPosition="0">
        <references count="1">
          <reference field="4294967294" count="1" selected="0">
            <x v="0"/>
          </reference>
        </references>
      </pivotArea>
    </format>
    <format dxfId="25">
      <pivotArea field="0" grandRow="1" outline="0" axis="axisRow" fieldPosition="0">
        <references count="1">
          <reference field="4294967294" count="1" selected="0">
            <x v="1"/>
          </reference>
        </references>
      </pivotArea>
    </format>
    <format dxfId="26">
      <pivotArea field="0" grandRow="1" outline="0" axis="axisRow" fieldPosition="0">
        <references count="1">
          <reference field="4294967294" count="1" selected="0">
            <x v="2"/>
          </reference>
        </references>
      </pivotArea>
    </format>
    <format dxfId="27">
      <pivotArea dataOnly="0" labelOnly="1" grandRow="1" outline="0" offset="B256" fieldPosition="0"/>
    </format>
    <format dxfId="28">
      <pivotArea dataOnly="0" labelOnly="1" grandRow="1" outline="0" offset="C256" fieldPosition="0"/>
    </format>
    <format dxfId="29">
      <pivotArea dataOnly="0" labelOnly="1" grandRow="1" outline="0" offset="D256" fieldPosition="0"/>
    </format>
    <format dxfId="30">
      <pivotArea dataOnly="0" labelOnly="1" grandRow="1" outline="0" offset="IV256" fieldPosition="0"/>
    </format>
    <format dxfId="31">
      <pivotArea field="0" grandRow="1" outline="0" axis="axisRow" fieldPosition="0">
        <references count="1">
          <reference field="4294967294" count="1" selected="0">
            <x v="0"/>
          </reference>
        </references>
      </pivotArea>
    </format>
    <format dxfId="32">
      <pivotArea dataOnly="0" grandRow="1" outline="0" fieldPosition="0"/>
    </format>
    <format dxfId="33">
      <pivotArea field="0" grandRow="1" outline="0" axis="axisRow" fieldPosition="0">
        <references count="1">
          <reference field="4294967294" count="1" selected="0">
            <x v="1"/>
          </reference>
        </references>
      </pivotArea>
    </format>
    <format dxfId="34">
      <pivotArea outline="0" fieldPosition="0">
        <references count="6">
          <reference field="4294967294" count="1" selected="0">
            <x v="2"/>
          </reference>
          <reference field="0" count="0" selected="0"/>
          <reference field="1" count="0" selected="0"/>
          <reference field="2" count="0" selected="0"/>
          <reference field="3" count="0" selected="0"/>
          <reference field="4" count="0" selected="0"/>
        </references>
      </pivotArea>
    </format>
    <format dxfId="3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6">
      <pivotArea dataOnly="0" labelOnly="1" outline="0" fieldPosition="0">
        <references count="1">
          <reference field="2" count="0"/>
        </references>
      </pivotArea>
    </format>
    <format dxfId="37">
      <pivotArea dataOnly="0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38">
      <pivotArea dataOnly="0" labelOnly="1" outline="0" fieldPosition="0">
        <references count="1">
          <reference field="0" count="0"/>
        </references>
      </pivotArea>
    </format>
    <format dxfId="39">
      <pivotArea outline="0" fieldPosition="0">
        <references count="6">
          <reference field="4294967294" count="1" selected="0">
            <x v="0"/>
          </reference>
          <reference field="0" count="0" selected="0"/>
          <reference field="1" count="0" selected="0"/>
          <reference field="2" count="0" selected="0"/>
          <reference field="3" count="0" selected="0"/>
          <reference field="4" count="0" selected="0"/>
        </references>
      </pivotArea>
    </format>
    <format dxfId="40">
      <pivotArea field="8" type="button" dataOnly="0" labelOnly="1" outline="0" axis="axisPage" fieldPosition="0"/>
    </format>
    <format dxfId="41">
      <pivotArea dataOnly="0" labelOnly="1" outline="0" fieldPosition="0">
        <references count="1">
          <reference field="8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ela dinâ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6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K13" sqref="K13"/>
    </sheetView>
  </sheetViews>
  <sheetFormatPr defaultRowHeight="14.4" x14ac:dyDescent="0.3"/>
  <cols>
    <col min="1" max="1" width="16.44140625" style="28" customWidth="1"/>
    <col min="2" max="2" width="19" style="23" customWidth="1"/>
    <col min="3" max="3" width="25.6640625" style="22" customWidth="1"/>
    <col min="4" max="4" width="25.21875" style="22" customWidth="1"/>
    <col min="5" max="5" width="12" style="22" customWidth="1"/>
    <col min="6" max="7" width="12.6640625" style="22" customWidth="1"/>
    <col min="8" max="8" width="14.33203125" style="22" customWidth="1"/>
    <col min="9" max="9" width="13.88671875" style="22" customWidth="1"/>
  </cols>
  <sheetData>
    <row r="1" spans="1:9" ht="15" customHeight="1" thickBot="1" x14ac:dyDescent="0.35">
      <c r="A1" s="27" t="s">
        <v>0</v>
      </c>
      <c r="B1" s="24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6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27</v>
      </c>
      <c r="G2">
        <v>433</v>
      </c>
      <c r="H2">
        <v>11691</v>
      </c>
      <c r="I2" t="s">
        <v>14</v>
      </c>
    </row>
    <row r="3" spans="1:9" x14ac:dyDescent="0.3">
      <c r="A3" t="s">
        <v>9</v>
      </c>
      <c r="B3" t="s">
        <v>10</v>
      </c>
      <c r="C3" t="s">
        <v>11</v>
      </c>
      <c r="D3" t="s">
        <v>15</v>
      </c>
      <c r="E3" t="s">
        <v>16</v>
      </c>
      <c r="F3">
        <v>1</v>
      </c>
      <c r="G3">
        <v>3925</v>
      </c>
      <c r="H3">
        <v>3925</v>
      </c>
      <c r="I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activeCell="B5" sqref="B5"/>
    </sheetView>
  </sheetViews>
  <sheetFormatPr defaultRowHeight="14.4" x14ac:dyDescent="0.3"/>
  <cols>
    <col min="1" max="1" width="17.21875" bestFit="1" customWidth="1"/>
    <col min="2" max="2" width="18.88671875" bestFit="1" customWidth="1"/>
    <col min="3" max="3" width="20.44140625" bestFit="1" customWidth="1"/>
    <col min="4" max="4" width="18.109375" bestFit="1" customWidth="1"/>
    <col min="5" max="5" width="10.33203125" bestFit="1" customWidth="1"/>
    <col min="6" max="6" width="21.33203125" bestFit="1" customWidth="1"/>
    <col min="7" max="7" width="22.88671875" bestFit="1" customWidth="1"/>
    <col min="8" max="8" width="18.109375" bestFit="1" customWidth="1"/>
  </cols>
  <sheetData>
    <row r="1" spans="1:8" ht="15" customHeight="1" thickBot="1" x14ac:dyDescent="0.35">
      <c r="A1" s="20" t="s">
        <v>8</v>
      </c>
      <c r="B1" s="33" t="s">
        <v>14</v>
      </c>
    </row>
    <row r="2" spans="1:8" ht="15" customHeight="1" thickBot="1" x14ac:dyDescent="0.35"/>
    <row r="3" spans="1:8" ht="15" customHeight="1" thickBot="1" x14ac:dyDescent="0.35">
      <c r="A3" s="14"/>
      <c r="B3" s="14"/>
      <c r="C3" s="14"/>
      <c r="D3" s="14"/>
      <c r="E3" s="14"/>
      <c r="F3" s="17" t="s">
        <v>18</v>
      </c>
      <c r="G3" s="18"/>
      <c r="H3" s="16"/>
    </row>
    <row r="4" spans="1:8" ht="15" customHeight="1" thickBot="1" x14ac:dyDescent="0.35">
      <c r="A4" s="15" t="s">
        <v>0</v>
      </c>
      <c r="B4" s="31" t="s">
        <v>1</v>
      </c>
      <c r="C4" s="31" t="s">
        <v>2</v>
      </c>
      <c r="D4" s="31" t="s">
        <v>3</v>
      </c>
      <c r="E4" s="32" t="s">
        <v>4</v>
      </c>
      <c r="F4" s="29" t="s">
        <v>19</v>
      </c>
      <c r="G4" s="30" t="s">
        <v>20</v>
      </c>
      <c r="H4" s="30" t="s">
        <v>21</v>
      </c>
    </row>
    <row r="5" spans="1:8" ht="15" customHeight="1" x14ac:dyDescent="0.3">
      <c r="A5" s="35" t="s">
        <v>9</v>
      </c>
      <c r="B5" s="21" t="s">
        <v>10</v>
      </c>
      <c r="C5" s="34" t="s">
        <v>11</v>
      </c>
      <c r="D5" s="21" t="s">
        <v>12</v>
      </c>
      <c r="E5" t="s">
        <v>13</v>
      </c>
      <c r="F5" s="39">
        <v>27</v>
      </c>
      <c r="G5" s="40">
        <v>433</v>
      </c>
      <c r="H5" s="39">
        <v>11691</v>
      </c>
    </row>
    <row r="6" spans="1:8" ht="15" customHeight="1" thickBot="1" x14ac:dyDescent="0.35">
      <c r="A6" s="35"/>
      <c r="B6" s="21"/>
      <c r="C6" s="34"/>
      <c r="D6" s="21" t="s">
        <v>15</v>
      </c>
      <c r="E6" t="s">
        <v>16</v>
      </c>
      <c r="F6" s="39">
        <v>1</v>
      </c>
      <c r="G6" s="40">
        <v>3925</v>
      </c>
      <c r="H6" s="39">
        <v>3925</v>
      </c>
    </row>
    <row r="7" spans="1:8" ht="15" thickBot="1" x14ac:dyDescent="0.35">
      <c r="A7" s="19" t="s">
        <v>22</v>
      </c>
      <c r="B7" s="19"/>
      <c r="C7" s="18"/>
      <c r="D7" s="18"/>
      <c r="E7" s="18"/>
      <c r="F7" s="38">
        <v>28</v>
      </c>
      <c r="G7" s="37">
        <v>4358</v>
      </c>
      <c r="H7" s="36">
        <v>15616</v>
      </c>
    </row>
    <row r="14" spans="1:8" x14ac:dyDescent="0.3">
      <c r="F14" s="1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44"/>
  <sheetViews>
    <sheetView workbookViewId="0">
      <selection activeCell="A2" sqref="A2"/>
    </sheetView>
  </sheetViews>
  <sheetFormatPr defaultRowHeight="14.4" x14ac:dyDescent="0.3"/>
  <cols>
    <col min="1" max="1" width="13.21875" style="9" customWidth="1"/>
    <col min="2" max="2" width="16" customWidth="1"/>
    <col min="3" max="3" width="16.77734375" customWidth="1"/>
    <col min="4" max="4" width="17" customWidth="1"/>
    <col min="5" max="5" width="15.6640625" style="4" customWidth="1"/>
  </cols>
  <sheetData>
    <row r="1" spans="1:49" s="3" customFormat="1" ht="15" customHeight="1" thickBot="1" x14ac:dyDescent="0.35">
      <c r="A1" s="7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ht="15" customHeight="1" thickBot="1" x14ac:dyDescent="0.35">
      <c r="A2" s="10" t="s">
        <v>14</v>
      </c>
      <c r="B2" s="6">
        <f>SUMIF(dados!I:I,A2,dados!H:H)</f>
        <v>15616</v>
      </c>
      <c r="C2" s="6">
        <f>SUMIF(dados!I:I,A2,dados!F:F)</f>
        <v>28</v>
      </c>
      <c r="D2" s="6">
        <v>1000</v>
      </c>
      <c r="E2" s="6">
        <f>B2-D2</f>
        <v>14616</v>
      </c>
    </row>
    <row r="3" spans="1:49" x14ac:dyDescent="0.3">
      <c r="A3" s="12"/>
      <c r="E3" s="11"/>
    </row>
    <row r="4" spans="1:49" x14ac:dyDescent="0.3">
      <c r="A4" s="8"/>
    </row>
    <row r="5" spans="1:49" x14ac:dyDescent="0.3">
      <c r="A5" s="8"/>
    </row>
    <row r="6" spans="1:49" x14ac:dyDescent="0.3">
      <c r="A6" s="8"/>
    </row>
    <row r="7" spans="1:49" x14ac:dyDescent="0.3">
      <c r="A7" s="8"/>
    </row>
    <row r="8" spans="1:49" x14ac:dyDescent="0.3">
      <c r="A8" s="8"/>
    </row>
    <row r="9" spans="1:49" x14ac:dyDescent="0.3">
      <c r="A9" s="8"/>
    </row>
    <row r="10" spans="1:49" x14ac:dyDescent="0.3">
      <c r="A10" s="8"/>
    </row>
    <row r="11" spans="1:49" x14ac:dyDescent="0.3">
      <c r="A11" s="8"/>
    </row>
    <row r="12" spans="1:49" x14ac:dyDescent="0.3">
      <c r="A12" s="8"/>
    </row>
    <row r="13" spans="1:49" x14ac:dyDescent="0.3">
      <c r="A13" s="8"/>
    </row>
    <row r="14" spans="1:49" x14ac:dyDescent="0.3">
      <c r="A14" s="8"/>
    </row>
    <row r="15" spans="1:49" x14ac:dyDescent="0.3">
      <c r="A15" s="8"/>
    </row>
    <row r="16" spans="1:49" x14ac:dyDescent="0.3">
      <c r="A16" s="8"/>
    </row>
    <row r="17" spans="1:1" x14ac:dyDescent="0.3">
      <c r="A17" s="8"/>
    </row>
    <row r="18" spans="1:1" x14ac:dyDescent="0.3">
      <c r="A18" s="8"/>
    </row>
    <row r="19" spans="1:1" x14ac:dyDescent="0.3">
      <c r="A19" s="8"/>
    </row>
    <row r="20" spans="1:1" x14ac:dyDescent="0.3">
      <c r="A20" s="8"/>
    </row>
    <row r="21" spans="1:1" x14ac:dyDescent="0.3">
      <c r="A21" s="8"/>
    </row>
    <row r="22" spans="1:1" x14ac:dyDescent="0.3">
      <c r="A22" s="8"/>
    </row>
    <row r="23" spans="1:1" x14ac:dyDescent="0.3">
      <c r="A23" s="8"/>
    </row>
    <row r="24" spans="1:1" x14ac:dyDescent="0.3">
      <c r="A24" s="8"/>
    </row>
    <row r="25" spans="1:1" x14ac:dyDescent="0.3">
      <c r="A25" s="8"/>
    </row>
    <row r="26" spans="1:1" x14ac:dyDescent="0.3">
      <c r="A26" s="8"/>
    </row>
    <row r="27" spans="1:1" x14ac:dyDescent="0.3">
      <c r="A27" s="8"/>
    </row>
    <row r="28" spans="1:1" x14ac:dyDescent="0.3">
      <c r="A28" s="8"/>
    </row>
    <row r="29" spans="1:1" x14ac:dyDescent="0.3">
      <c r="A29" s="8"/>
    </row>
    <row r="30" spans="1:1" x14ac:dyDescent="0.3">
      <c r="A30" s="8"/>
    </row>
    <row r="31" spans="1:1" x14ac:dyDescent="0.3">
      <c r="A31" s="8"/>
    </row>
    <row r="32" spans="1:1" x14ac:dyDescent="0.3">
      <c r="A32" s="8"/>
    </row>
    <row r="33" spans="1:1" x14ac:dyDescent="0.3">
      <c r="A33" s="8"/>
    </row>
    <row r="34" spans="1:1" x14ac:dyDescent="0.3">
      <c r="A34" s="8"/>
    </row>
    <row r="35" spans="1:1" x14ac:dyDescent="0.3">
      <c r="A35" s="8"/>
    </row>
    <row r="36" spans="1:1" x14ac:dyDescent="0.3">
      <c r="A36" s="8"/>
    </row>
    <row r="37" spans="1:1" x14ac:dyDescent="0.3">
      <c r="A37" s="8"/>
    </row>
    <row r="38" spans="1:1" x14ac:dyDescent="0.3">
      <c r="A38" s="8"/>
    </row>
    <row r="39" spans="1:1" x14ac:dyDescent="0.3">
      <c r="A39" s="8"/>
    </row>
    <row r="40" spans="1:1" x14ac:dyDescent="0.3">
      <c r="A40" s="8"/>
    </row>
    <row r="41" spans="1:1" x14ac:dyDescent="0.3">
      <c r="A41" s="8"/>
    </row>
    <row r="42" spans="1:1" x14ac:dyDescent="0.3">
      <c r="A42" s="8"/>
    </row>
    <row r="43" spans="1:1" x14ac:dyDescent="0.3">
      <c r="A43" s="8"/>
    </row>
    <row r="44" spans="1:1" x14ac:dyDescent="0.3">
      <c r="A44" s="8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ECAF2A-F789-49F8-80E3-1A6FF2CB6353}">
          <x14:formula1>
            <xm:f>'AUXILIAR '!$A$3:$A$6</xm:f>
          </x14:formula1>
          <xm:sqref>A2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89" zoomScaleNormal="89" workbookViewId="0">
      <selection activeCell="V24" sqref="V24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6"/>
  <sheetViews>
    <sheetView workbookViewId="0">
      <selection activeCell="A3" sqref="A3"/>
    </sheetView>
  </sheetViews>
  <sheetFormatPr defaultRowHeight="14.4" x14ac:dyDescent="0.3"/>
  <cols>
    <col min="1" max="1" width="17.21875" bestFit="1" customWidth="1"/>
  </cols>
  <sheetData>
    <row r="3" spans="1:1" x14ac:dyDescent="0.3">
      <c r="A3" s="1" t="s">
        <v>28</v>
      </c>
    </row>
    <row r="4" spans="1:1" x14ac:dyDescent="0.3">
      <c r="A4" s="2" t="s">
        <v>17</v>
      </c>
    </row>
    <row r="5" spans="1:1" x14ac:dyDescent="0.3">
      <c r="A5" s="2" t="s">
        <v>14</v>
      </c>
    </row>
    <row r="6" spans="1:1" x14ac:dyDescent="0.3">
      <c r="A6" s="2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</vt:lpstr>
      <vt:lpstr>PROJETOS</vt:lpstr>
      <vt:lpstr>INDICADORES</vt:lpstr>
      <vt:lpstr>DASHBOARD</vt:lpstr>
      <vt:lpstr>AUXILIAR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Kauã Leal</cp:lastModifiedBy>
  <dcterms:created xsi:type="dcterms:W3CDTF">2026-03-13T12:26:30Z</dcterms:created>
  <dcterms:modified xsi:type="dcterms:W3CDTF">2026-03-16T13:32:10Z</dcterms:modified>
</cp:coreProperties>
</file>